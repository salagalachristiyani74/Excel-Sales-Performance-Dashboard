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pivotTables/pivotTable2.xml" ContentType="application/vnd.openxmlformats-officedocument.spreadsheetml.pivot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alag\Desktop\excel folder\"/>
    </mc:Choice>
  </mc:AlternateContent>
  <xr:revisionPtr revIDLastSave="0" documentId="13_ncr:1_{5DA640A6-4A13-458A-8492-08BFA6E8B088}" xr6:coauthVersionLast="47" xr6:coauthVersionMax="47" xr10:uidLastSave="{00000000-0000-0000-0000-000000000000}"/>
  <bookViews>
    <workbookView xWindow="-108" yWindow="-108" windowWidth="23256" windowHeight="12456" firstSheet="2" activeTab="2" xr2:uid="{B168D9DC-FF9F-4087-8C4F-9A1AF876AC27}"/>
  </bookViews>
  <sheets>
    <sheet name="Sheet3" sheetId="3" r:id="rId1"/>
    <sheet name="Sheet1" sheetId="1" r:id="rId2"/>
    <sheet name="dashboard" sheetId="2" r:id="rId3"/>
    <sheet name="vlookup practise" sheetId="6" r:id="rId4"/>
    <sheet name="Table9" sheetId="13" r:id="rId5"/>
    <sheet name="Table7" sheetId="12" r:id="rId6"/>
    <sheet name="Table5" sheetId="11" r:id="rId7"/>
    <sheet name="Table1_2" sheetId="10" r:id="rId8"/>
    <sheet name="Table1_1" sheetId="9" r:id="rId9"/>
    <sheet name="Table2" sheetId="14" r:id="rId10"/>
    <sheet name="Sheet4" sheetId="18" r:id="rId11"/>
    <sheet name="Table12_1" sheetId="17" r:id="rId12"/>
    <sheet name="Table12" sheetId="16" r:id="rId13"/>
    <sheet name="Sheet2" sheetId="15" r:id="rId14"/>
    <sheet name="Table1" sheetId="8" r:id="rId15"/>
    <sheet name="Sheet5" sheetId="7" r:id="rId16"/>
    <sheet name="employee report" sheetId="5" r:id="rId17"/>
    <sheet name="monthly sales" sheetId="4" r:id="rId18"/>
  </sheets>
  <definedNames>
    <definedName name="ExternalData_1" localSheetId="12" hidden="1">Table12!$A$1:$B$6</definedName>
    <definedName name="ExternalData_1" localSheetId="9" hidden="1">Table2!$A$1:$B$5</definedName>
    <definedName name="ExternalData_2" localSheetId="8" hidden="1">Table1_1!$A$1:$B$4</definedName>
    <definedName name="ExternalData_2" localSheetId="11" hidden="1">Table12_1!$A$1:$B$5</definedName>
    <definedName name="ExternalData_3" localSheetId="7" hidden="1">Table1_2!$A$1:$B$4</definedName>
    <definedName name="ExternalData_4" localSheetId="6" hidden="1">Table5!$A$1:$B$5</definedName>
    <definedName name="ExternalData_5" localSheetId="5" hidden="1">Table7!$A$1:$A$5</definedName>
    <definedName name="ExternalData_6" localSheetId="4" hidden="1">Table9!$A$1:$B$5</definedName>
    <definedName name="Slicer_employee">#N/A</definedName>
    <definedName name="Slicer_product">#N/A</definedName>
    <definedName name="Slicer_region">#N/A</definedName>
  </definedNames>
  <calcPr calcId="191029"/>
  <pivotCaches>
    <pivotCache cacheId="0" r:id="rId19"/>
    <pivotCache cacheId="1"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6" l="1"/>
  <c r="N3" i="6"/>
  <c r="M4" i="6"/>
  <c r="M3" i="6"/>
  <c r="N5" i="6"/>
  <c r="N6" i="6"/>
  <c r="L4" i="6"/>
  <c r="L3" i="6"/>
  <c r="M5" i="6"/>
  <c r="M6" i="6"/>
  <c r="L5" i="6"/>
  <c r="L6" i="6"/>
  <c r="N2" i="6"/>
  <c r="M2" i="6"/>
  <c r="L2" i="6"/>
  <c r="I5" i="6"/>
  <c r="I4" i="6"/>
  <c r="I3" i="6"/>
  <c r="I6" i="6"/>
  <c r="H5" i="6"/>
  <c r="H4" i="6"/>
  <c r="H3" i="6"/>
  <c r="H6" i="6"/>
  <c r="H2" i="6"/>
  <c r="G5" i="6"/>
  <c r="G4" i="6"/>
  <c r="G6" i="6"/>
  <c r="G3" i="6"/>
  <c r="I2" i="6"/>
  <c r="G2" i="6"/>
  <c r="D3" i="5"/>
  <c r="D4" i="5"/>
  <c r="D5" i="5"/>
  <c r="D6" i="5"/>
  <c r="D2" i="5"/>
  <c r="C3" i="5"/>
  <c r="C4" i="5"/>
  <c r="C5" i="5"/>
  <c r="C6" i="5"/>
  <c r="C2" i="5"/>
  <c r="I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96B0AE-D755-467C-B419-D68746AE5D5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BB046669-A735-4F7A-B8D2-4F6D0AEAF540}"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3" xr16:uid="{38F9BA25-0731-4113-A927-A7A464432309}"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 id="4" xr16:uid="{A310D1E1-DE19-452B-A2DF-66898ACE1157}" keepAlive="1" name="Query - Table12" description="Connection to the 'Table12' query in the workbook." type="5" refreshedVersion="8" background="1" saveData="1">
    <dbPr connection="Provider=Microsoft.Mashup.OleDb.1;Data Source=$Workbook$;Location=Table12;Extended Properties=&quot;&quot;" command="SELECT * FROM [Table12]"/>
  </connection>
  <connection id="5" xr16:uid="{EA566B27-3C6E-435F-AC40-28B0CC5B970A}" keepAlive="1" name="Query - Table12_1" description="Connection to the 'Table12_1' query in the workbook." type="5" refreshedVersion="8" background="1" saveData="1">
    <dbPr connection="Provider=Microsoft.Mashup.OleDb.1;Data Source=$Workbook$;Location=Table12_1;Extended Properties=&quot;&quot;" command="SELECT * FROM [Table12_1]"/>
  </connection>
  <connection id="6" xr16:uid="{551AC896-FEAE-425E-8D9A-5342C9EDF5B0}"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7" xr16:uid="{81488F7A-83B8-4385-9ACF-DAEBE42C026B}"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8" xr16:uid="{8616332E-345F-4CC0-A410-8B5846113D9F}"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9" xr16:uid="{993CE028-20B6-4EF0-96FC-1B45C3BE06E0}" keepAlive="1" name="Query - Table9" description="Connection to the 'Table9' query in the workbook." type="5" refreshedVersion="8" background="1" saveData="1">
    <dbPr connection="Provider=Microsoft.Mashup.OleDb.1;Data Source=$Workbook$;Location=Table9;Extended Properties=&quot;&quot;" command="SELECT * FROM [Table9]"/>
  </connection>
</connections>
</file>

<file path=xl/sharedStrings.xml><?xml version="1.0" encoding="utf-8"?>
<sst xmlns="http://schemas.openxmlformats.org/spreadsheetml/2006/main" count="172" uniqueCount="57">
  <si>
    <t>employee</t>
  </si>
  <si>
    <t>ram</t>
  </si>
  <si>
    <t>ravi</t>
  </si>
  <si>
    <t>sita</t>
  </si>
  <si>
    <t>rani</t>
  </si>
  <si>
    <t>kumar</t>
  </si>
  <si>
    <t>region</t>
  </si>
  <si>
    <t>hyd</t>
  </si>
  <si>
    <t>guntur</t>
  </si>
  <si>
    <t>product</t>
  </si>
  <si>
    <t>mobile</t>
  </si>
  <si>
    <t>laptop</t>
  </si>
  <si>
    <t>sales</t>
  </si>
  <si>
    <t>Row Labels</t>
  </si>
  <si>
    <t>Grand Total</t>
  </si>
  <si>
    <t>Sum of sales</t>
  </si>
  <si>
    <t>sales dashboard</t>
  </si>
  <si>
    <t>month</t>
  </si>
  <si>
    <t>jan</t>
  </si>
  <si>
    <t>feb</t>
  </si>
  <si>
    <t>mar</t>
  </si>
  <si>
    <t>apr</t>
  </si>
  <si>
    <t>may</t>
  </si>
  <si>
    <t>jun</t>
  </si>
  <si>
    <t>top performer</t>
  </si>
  <si>
    <t>rank</t>
  </si>
  <si>
    <t>performance</t>
  </si>
  <si>
    <t>employee id</t>
  </si>
  <si>
    <t>department</t>
  </si>
  <si>
    <t>hr</t>
  </si>
  <si>
    <t>it</t>
  </si>
  <si>
    <t>salary</t>
  </si>
  <si>
    <t>enter employee id</t>
  </si>
  <si>
    <t>employee name</t>
  </si>
  <si>
    <t>enter id</t>
  </si>
  <si>
    <t>vlookup</t>
  </si>
  <si>
    <t>xlookup</t>
  </si>
  <si>
    <t>id dhvara data search cheydaniki use chestham</t>
  </si>
  <si>
    <t>id search chesthundhi</t>
  </si>
  <si>
    <t>column number 234 ivali</t>
  </si>
  <si>
    <r>
      <t xml:space="preserve">v </t>
    </r>
    <r>
      <rPr>
        <b/>
        <sz val="11"/>
        <color theme="1"/>
        <rFont val="Calibri"/>
        <family val="2"/>
        <scheme val="minor"/>
      </rPr>
      <t>lookup</t>
    </r>
    <r>
      <rPr>
        <sz val="11"/>
        <color theme="1"/>
        <rFont val="Calibri"/>
        <family val="2"/>
        <scheme val="minor"/>
      </rPr>
      <t xml:space="preserve"> </t>
    </r>
  </si>
  <si>
    <t>x lookup</t>
  </si>
  <si>
    <t>direct ga ye column kvao select chestham</t>
  </si>
  <si>
    <t>employee details</t>
  </si>
  <si>
    <t>ravi sales</t>
  </si>
  <si>
    <t>site hr</t>
  </si>
  <si>
    <t>ram it</t>
  </si>
  <si>
    <t>Column1</t>
  </si>
  <si>
    <t>Column1.1</t>
  </si>
  <si>
    <t>Column1.2</t>
  </si>
  <si>
    <t>details</t>
  </si>
  <si>
    <t>site</t>
  </si>
  <si>
    <t>Column2</t>
  </si>
  <si>
    <t>employee-department</t>
  </si>
  <si>
    <t>ravi-sales</t>
  </si>
  <si>
    <t>sita-hr</t>
  </si>
  <si>
    <t>ram-it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</si>
</sst>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color theme="1"/>
      <name val="Calibri"/>
      <family val="2"/>
      <scheme val="minor"/>
    </font>
    <font>
      <b/>
      <sz val="20"/>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horizontal="center"/>
    </xf>
    <xf numFmtId="0" fontId="2" fillId="0" borderId="0" xfId="0" applyFont="1"/>
    <xf numFmtId="0" fontId="3" fillId="0" borderId="0" xfId="0" applyFont="1"/>
  </cellXfs>
  <cellStyles count="1">
    <cellStyle name="Normal" xfId="0" builtinId="0"/>
  </cellStyles>
  <dxfs count="13">
    <dxf>
      <font>
        <color rgb="FF9C0006"/>
      </font>
      <fill>
        <patternFill>
          <bgColor rgb="FFFFC7CE"/>
        </patternFill>
      </fill>
    </dxf>
    <dxf>
      <font>
        <color rgb="FF006100"/>
      </font>
      <fill>
        <patternFill>
          <bgColor rgb="FFC6EFCE"/>
        </patternFill>
      </fill>
    </dxf>
    <dxf>
      <font>
        <color rgb="FF9C0006"/>
      </font>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wise sales</a:t>
            </a:r>
          </a:p>
          <a:p>
            <a:pPr>
              <a:defRPr/>
            </a:pPr>
            <a:endParaRPr lang="en-IN"/>
          </a:p>
        </c:rich>
      </c:tx>
      <c:layout>
        <c:manualLayout>
          <c:xMode val="edge"/>
          <c:yMode val="edge"/>
          <c:x val="0.21245425982336152"/>
          <c:y val="0.117288659230096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8842966205987"/>
          <c:y val="0.27951861130994987"/>
          <c:w val="0.74845603674540684"/>
          <c:h val="0.53774387576552929"/>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Sheet3!$A$4:$A$6</c:f>
              <c:strCache>
                <c:ptCount val="2"/>
                <c:pt idx="0">
                  <c:v>laptop</c:v>
                </c:pt>
                <c:pt idx="1">
                  <c:v>mobile</c:v>
                </c:pt>
              </c:strCache>
            </c:strRef>
          </c:cat>
          <c:val>
            <c:numRef>
              <c:f>Sheet3!$B$4:$B$6</c:f>
              <c:numCache>
                <c:formatCode>General</c:formatCode>
                <c:ptCount val="2"/>
                <c:pt idx="0">
                  <c:v>35000</c:v>
                </c:pt>
                <c:pt idx="1">
                  <c:v>30000</c:v>
                </c:pt>
              </c:numCache>
            </c:numRef>
          </c:val>
          <c:extLst>
            <c:ext xmlns:c16="http://schemas.microsoft.com/office/drawing/2014/chart" uri="{C3380CC4-5D6E-409C-BE32-E72D297353CC}">
              <c16:uniqueId val="{00000000-B5D4-4867-B722-F41449EFA2C2}"/>
            </c:ext>
          </c:extLst>
        </c:ser>
        <c:dLbls>
          <c:dLblPos val="outEnd"/>
          <c:showLegendKey val="0"/>
          <c:showVal val="1"/>
          <c:showCatName val="0"/>
          <c:showSerName val="0"/>
          <c:showPercent val="0"/>
          <c:showBubbleSize val="0"/>
        </c:dLbls>
        <c:gapWidth val="219"/>
        <c:overlap val="-27"/>
        <c:axId val="1549709968"/>
        <c:axId val="1549700848"/>
      </c:barChart>
      <c:catAx>
        <c:axId val="154970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700848"/>
        <c:crosses val="autoZero"/>
        <c:auto val="1"/>
        <c:lblAlgn val="ctr"/>
        <c:lblOffset val="100"/>
        <c:noMultiLvlLbl val="0"/>
      </c:catAx>
      <c:valAx>
        <c:axId val="154970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70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'monthly sales'!$B$1</c:f>
              <c:strCache>
                <c:ptCount val="1"/>
                <c:pt idx="0">
                  <c:v>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sales'!$A$2:$A$7</c:f>
              <c:strCache>
                <c:ptCount val="6"/>
                <c:pt idx="0">
                  <c:v>jan</c:v>
                </c:pt>
                <c:pt idx="1">
                  <c:v>feb</c:v>
                </c:pt>
                <c:pt idx="2">
                  <c:v>mar</c:v>
                </c:pt>
                <c:pt idx="3">
                  <c:v>apr</c:v>
                </c:pt>
                <c:pt idx="4">
                  <c:v>may</c:v>
                </c:pt>
                <c:pt idx="5">
                  <c:v>jun</c:v>
                </c:pt>
              </c:strCache>
            </c:strRef>
          </c:cat>
          <c:val>
            <c:numRef>
              <c:f>'monthly sales'!$B$2:$B$7</c:f>
              <c:numCache>
                <c:formatCode>General</c:formatCode>
                <c:ptCount val="6"/>
                <c:pt idx="0">
                  <c:v>10000</c:v>
                </c:pt>
                <c:pt idx="1">
                  <c:v>15000</c:v>
                </c:pt>
                <c:pt idx="2">
                  <c:v>12000</c:v>
                </c:pt>
                <c:pt idx="3">
                  <c:v>20000</c:v>
                </c:pt>
                <c:pt idx="4">
                  <c:v>25000</c:v>
                </c:pt>
                <c:pt idx="5">
                  <c:v>30000</c:v>
                </c:pt>
              </c:numCache>
            </c:numRef>
          </c:val>
          <c:smooth val="0"/>
          <c:extLst>
            <c:ext xmlns:c16="http://schemas.microsoft.com/office/drawing/2014/chart" uri="{C3380CC4-5D6E-409C-BE32-E72D297353CC}">
              <c16:uniqueId val="{00000000-7EB1-4F4B-A60C-490DAFD373A5}"/>
            </c:ext>
          </c:extLst>
        </c:ser>
        <c:dLbls>
          <c:dLblPos val="t"/>
          <c:showLegendKey val="0"/>
          <c:showVal val="1"/>
          <c:showCatName val="0"/>
          <c:showSerName val="0"/>
          <c:showPercent val="0"/>
          <c:showBubbleSize val="0"/>
        </c:dLbls>
        <c:smooth val="0"/>
        <c:axId val="873643328"/>
        <c:axId val="873619808"/>
      </c:lineChart>
      <c:catAx>
        <c:axId val="87364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619808"/>
        <c:crosses val="autoZero"/>
        <c:auto val="1"/>
        <c:lblAlgn val="ctr"/>
        <c:lblOffset val="100"/>
        <c:noMultiLvlLbl val="0"/>
      </c:catAx>
      <c:valAx>
        <c:axId val="873619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643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 sales 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'employee report'!$B$1</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report'!$A$2:$A$6</c:f>
              <c:strCache>
                <c:ptCount val="5"/>
                <c:pt idx="0">
                  <c:v>ravi</c:v>
                </c:pt>
                <c:pt idx="1">
                  <c:v>sita</c:v>
                </c:pt>
                <c:pt idx="2">
                  <c:v>rani</c:v>
                </c:pt>
                <c:pt idx="3">
                  <c:v>ram</c:v>
                </c:pt>
                <c:pt idx="4">
                  <c:v>kumar</c:v>
                </c:pt>
              </c:strCache>
            </c:strRef>
          </c:cat>
          <c:val>
            <c:numRef>
              <c:f>'employee report'!$B$2:$B$6</c:f>
              <c:numCache>
                <c:formatCode>General</c:formatCode>
                <c:ptCount val="5"/>
                <c:pt idx="0">
                  <c:v>20000</c:v>
                </c:pt>
                <c:pt idx="1">
                  <c:v>15000</c:v>
                </c:pt>
                <c:pt idx="2">
                  <c:v>12000</c:v>
                </c:pt>
                <c:pt idx="3">
                  <c:v>10000</c:v>
                </c:pt>
                <c:pt idx="4">
                  <c:v>8000</c:v>
                </c:pt>
              </c:numCache>
            </c:numRef>
          </c:val>
          <c:extLst>
            <c:ext xmlns:c16="http://schemas.microsoft.com/office/drawing/2014/chart" uri="{C3380CC4-5D6E-409C-BE32-E72D297353CC}">
              <c16:uniqueId val="{00000000-B292-4FE4-A534-CEDE0241639F}"/>
            </c:ext>
          </c:extLst>
        </c:ser>
        <c:dLbls>
          <c:dLblPos val="outEnd"/>
          <c:showLegendKey val="0"/>
          <c:showVal val="1"/>
          <c:showCatName val="0"/>
          <c:showSerName val="0"/>
          <c:showPercent val="0"/>
          <c:showBubbleSize val="0"/>
        </c:dLbls>
        <c:gapWidth val="219"/>
        <c:overlap val="-27"/>
        <c:axId val="641902672"/>
        <c:axId val="641906512"/>
      </c:barChart>
      <c:catAx>
        <c:axId val="64190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06512"/>
        <c:crosses val="autoZero"/>
        <c:auto val="1"/>
        <c:lblAlgn val="ctr"/>
        <c:lblOffset val="100"/>
        <c:noMultiLvlLbl val="0"/>
      </c:catAx>
      <c:valAx>
        <c:axId val="64190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0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 sales perfomance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'employee report'!$B$1</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report'!$A$2:$A$6</c:f>
              <c:strCache>
                <c:ptCount val="5"/>
                <c:pt idx="0">
                  <c:v>ravi</c:v>
                </c:pt>
                <c:pt idx="1">
                  <c:v>sita</c:v>
                </c:pt>
                <c:pt idx="2">
                  <c:v>rani</c:v>
                </c:pt>
                <c:pt idx="3">
                  <c:v>ram</c:v>
                </c:pt>
                <c:pt idx="4">
                  <c:v>kumar</c:v>
                </c:pt>
              </c:strCache>
            </c:strRef>
          </c:cat>
          <c:val>
            <c:numRef>
              <c:f>'employee report'!$B$2:$B$6</c:f>
              <c:numCache>
                <c:formatCode>General</c:formatCode>
                <c:ptCount val="5"/>
                <c:pt idx="0">
                  <c:v>20000</c:v>
                </c:pt>
                <c:pt idx="1">
                  <c:v>15000</c:v>
                </c:pt>
                <c:pt idx="2">
                  <c:v>12000</c:v>
                </c:pt>
                <c:pt idx="3">
                  <c:v>10000</c:v>
                </c:pt>
                <c:pt idx="4">
                  <c:v>8000</c:v>
                </c:pt>
              </c:numCache>
            </c:numRef>
          </c:val>
          <c:extLst>
            <c:ext xmlns:c16="http://schemas.microsoft.com/office/drawing/2014/chart" uri="{C3380CC4-5D6E-409C-BE32-E72D297353CC}">
              <c16:uniqueId val="{00000000-CD63-4D6A-9870-FDCD8E60D6FB}"/>
            </c:ext>
          </c:extLst>
        </c:ser>
        <c:dLbls>
          <c:dLblPos val="outEnd"/>
          <c:showLegendKey val="0"/>
          <c:showVal val="1"/>
          <c:showCatName val="0"/>
          <c:showSerName val="0"/>
          <c:showPercent val="0"/>
          <c:showBubbleSize val="0"/>
        </c:dLbls>
        <c:gapWidth val="219"/>
        <c:overlap val="-27"/>
        <c:axId val="641902672"/>
        <c:axId val="641906512"/>
      </c:barChart>
      <c:catAx>
        <c:axId val="64190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06512"/>
        <c:crosses val="autoZero"/>
        <c:auto val="1"/>
        <c:lblAlgn val="ctr"/>
        <c:lblOffset val="100"/>
        <c:noMultiLvlLbl val="0"/>
      </c:catAx>
      <c:valAx>
        <c:axId val="64190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902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3 performers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997594050743654E-2"/>
          <c:y val="0.14856481481481484"/>
          <c:w val="0.89655796150481193"/>
          <c:h val="0.72088764946048411"/>
        </c:manualLayout>
      </c:layout>
      <c:barChart>
        <c:barDir val="col"/>
        <c:grouping val="clustered"/>
        <c:varyColors val="0"/>
        <c:ser>
          <c:idx val="0"/>
          <c:order val="0"/>
          <c:spPr>
            <a:solidFill>
              <a:schemeClr val="accent1"/>
            </a:solidFill>
            <a:ln>
              <a:noFill/>
            </a:ln>
            <a:effectLst/>
          </c:spPr>
          <c:invertIfNegative val="0"/>
          <c:val>
            <c:numRef>
              <c:f>('employee report'!$C$2,'employee report'!$C$3,'employee report'!$C$4)</c:f>
              <c:numCache>
                <c:formatCode>General</c:formatCode>
                <c:ptCount val="3"/>
                <c:pt idx="0">
                  <c:v>1</c:v>
                </c:pt>
                <c:pt idx="1">
                  <c:v>2</c:v>
                </c:pt>
                <c:pt idx="2">
                  <c:v>3</c:v>
                </c:pt>
              </c:numCache>
            </c:numRef>
          </c:val>
          <c:extLst>
            <c:ext xmlns:c16="http://schemas.microsoft.com/office/drawing/2014/chart" uri="{C3380CC4-5D6E-409C-BE32-E72D297353CC}">
              <c16:uniqueId val="{00000000-A19A-4662-B271-0C68FD81822A}"/>
            </c:ext>
          </c:extLst>
        </c:ser>
        <c:dLbls>
          <c:showLegendKey val="0"/>
          <c:showVal val="0"/>
          <c:showCatName val="0"/>
          <c:showSerName val="0"/>
          <c:showPercent val="0"/>
          <c:showBubbleSize val="0"/>
        </c:dLbls>
        <c:gapWidth val="219"/>
        <c:overlap val="-27"/>
        <c:axId val="647714320"/>
        <c:axId val="647713840"/>
      </c:barChart>
      <c:catAx>
        <c:axId val="64771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13840"/>
        <c:crosses val="autoZero"/>
        <c:auto val="1"/>
        <c:lblAlgn val="ctr"/>
        <c:lblOffset val="100"/>
        <c:noMultiLvlLbl val="0"/>
      </c:catAx>
      <c:valAx>
        <c:axId val="64771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1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7</xdr:row>
      <xdr:rowOff>99060</xdr:rowOff>
    </xdr:from>
    <xdr:to>
      <xdr:col>3</xdr:col>
      <xdr:colOff>449580</xdr:colOff>
      <xdr:row>15</xdr:row>
      <xdr:rowOff>99060</xdr:rowOff>
    </xdr:to>
    <xdr:graphicFrame macro="">
      <xdr:nvGraphicFramePr>
        <xdr:cNvPr id="2" name="Chart 1">
          <a:extLst>
            <a:ext uri="{FF2B5EF4-FFF2-40B4-BE49-F238E27FC236}">
              <a16:creationId xmlns:a16="http://schemas.microsoft.com/office/drawing/2014/main" id="{B456058F-AD75-4D0E-9653-F80D2F750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541020</xdr:colOff>
      <xdr:row>8</xdr:row>
      <xdr:rowOff>137161</xdr:rowOff>
    </xdr:from>
    <xdr:to>
      <xdr:col>6</xdr:col>
      <xdr:colOff>563880</xdr:colOff>
      <xdr:row>13</xdr:row>
      <xdr:rowOff>114300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710A7B9-3950-478E-8AF3-C01354BB84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9820" y="1859281"/>
              <a:ext cx="185166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3</xdr:row>
      <xdr:rowOff>175260</xdr:rowOff>
    </xdr:from>
    <xdr:to>
      <xdr:col>2</xdr:col>
      <xdr:colOff>0</xdr:colOff>
      <xdr:row>7</xdr:row>
      <xdr:rowOff>7620</xdr:rowOff>
    </xdr:to>
    <xdr:sp macro="" textlink="">
      <xdr:nvSpPr>
        <xdr:cNvPr id="3" name="Rectangle 2">
          <a:extLst>
            <a:ext uri="{FF2B5EF4-FFF2-40B4-BE49-F238E27FC236}">
              <a16:creationId xmlns:a16="http://schemas.microsoft.com/office/drawing/2014/main" id="{FD4C3C19-3E65-94C5-D823-84E0FA20B4E8}"/>
            </a:ext>
          </a:extLst>
        </xdr:cNvPr>
        <xdr:cNvSpPr/>
      </xdr:nvSpPr>
      <xdr:spPr>
        <a:xfrm>
          <a:off x="15240" y="838200"/>
          <a:ext cx="1203960" cy="563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sales</a:t>
          </a:r>
        </a:p>
        <a:p>
          <a:pPr algn="ctr"/>
          <a:r>
            <a:rPr lang="en-IN" sz="1100"/>
            <a:t>65000</a:t>
          </a:r>
        </a:p>
      </xdr:txBody>
    </xdr:sp>
    <xdr:clientData/>
  </xdr:twoCellAnchor>
  <xdr:twoCellAnchor>
    <xdr:from>
      <xdr:col>3</xdr:col>
      <xdr:colOff>22860</xdr:colOff>
      <xdr:row>4</xdr:row>
      <xdr:rowOff>0</xdr:rowOff>
    </xdr:from>
    <xdr:to>
      <xdr:col>4</xdr:col>
      <xdr:colOff>601980</xdr:colOff>
      <xdr:row>6</xdr:row>
      <xdr:rowOff>160020</xdr:rowOff>
    </xdr:to>
    <xdr:sp macro="" textlink="">
      <xdr:nvSpPr>
        <xdr:cNvPr id="8" name="Rectangle 7">
          <a:extLst>
            <a:ext uri="{FF2B5EF4-FFF2-40B4-BE49-F238E27FC236}">
              <a16:creationId xmlns:a16="http://schemas.microsoft.com/office/drawing/2014/main" id="{5302E42A-F54D-4391-A150-7C4DBD0C3A83}"/>
            </a:ext>
          </a:extLst>
        </xdr:cNvPr>
        <xdr:cNvSpPr/>
      </xdr:nvSpPr>
      <xdr:spPr>
        <a:xfrm>
          <a:off x="1851660" y="845820"/>
          <a:ext cx="1188720" cy="525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a:t>
          </a:r>
          <a:r>
            <a:rPr lang="en-IN" sz="1100" baseline="0"/>
            <a:t> employees</a:t>
          </a:r>
          <a:endParaRPr lang="en-IN" sz="1100"/>
        </a:p>
        <a:p>
          <a:pPr algn="ctr"/>
          <a:r>
            <a:rPr lang="en-IN" sz="1100"/>
            <a:t>5</a:t>
          </a:r>
        </a:p>
      </xdr:txBody>
    </xdr:sp>
    <xdr:clientData/>
  </xdr:twoCellAnchor>
  <xdr:twoCellAnchor>
    <xdr:from>
      <xdr:col>6</xdr:col>
      <xdr:colOff>7620</xdr:colOff>
      <xdr:row>4</xdr:row>
      <xdr:rowOff>7620</xdr:rowOff>
    </xdr:from>
    <xdr:to>
      <xdr:col>8</xdr:col>
      <xdr:colOff>60960</xdr:colOff>
      <xdr:row>6</xdr:row>
      <xdr:rowOff>175260</xdr:rowOff>
    </xdr:to>
    <xdr:sp macro="" textlink="">
      <xdr:nvSpPr>
        <xdr:cNvPr id="9" name="Rectangle 8">
          <a:extLst>
            <a:ext uri="{FF2B5EF4-FFF2-40B4-BE49-F238E27FC236}">
              <a16:creationId xmlns:a16="http://schemas.microsoft.com/office/drawing/2014/main" id="{DEA65FE4-2830-458E-B53A-DBCEB8269210}"/>
            </a:ext>
          </a:extLst>
        </xdr:cNvPr>
        <xdr:cNvSpPr/>
      </xdr:nvSpPr>
      <xdr:spPr>
        <a:xfrm>
          <a:off x="3665220" y="853440"/>
          <a:ext cx="127254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highest</a:t>
          </a:r>
          <a:r>
            <a:rPr lang="en-IN" sz="1100" baseline="0"/>
            <a:t> sale</a:t>
          </a:r>
          <a:endParaRPr lang="en-IN" sz="1100"/>
        </a:p>
        <a:p>
          <a:pPr algn="ctr"/>
          <a:r>
            <a:rPr lang="en-IN" sz="1100"/>
            <a:t>20000</a:t>
          </a:r>
        </a:p>
      </xdr:txBody>
    </xdr:sp>
    <xdr:clientData/>
  </xdr:twoCellAnchor>
  <xdr:twoCellAnchor>
    <xdr:from>
      <xdr:col>0</xdr:col>
      <xdr:colOff>0</xdr:colOff>
      <xdr:row>15</xdr:row>
      <xdr:rowOff>137160</xdr:rowOff>
    </xdr:from>
    <xdr:to>
      <xdr:col>4</xdr:col>
      <xdr:colOff>30480</xdr:colOff>
      <xdr:row>25</xdr:row>
      <xdr:rowOff>114300</xdr:rowOff>
    </xdr:to>
    <xdr:graphicFrame macro="">
      <xdr:nvGraphicFramePr>
        <xdr:cNvPr id="10" name="Chart 9">
          <a:extLst>
            <a:ext uri="{FF2B5EF4-FFF2-40B4-BE49-F238E27FC236}">
              <a16:creationId xmlns:a16="http://schemas.microsoft.com/office/drawing/2014/main" id="{D1809F69-8879-4FF6-9C53-6552DE13A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342900</xdr:colOff>
      <xdr:row>8</xdr:row>
      <xdr:rowOff>129541</xdr:rowOff>
    </xdr:from>
    <xdr:to>
      <xdr:col>10</xdr:col>
      <xdr:colOff>342900</xdr:colOff>
      <xdr:row>13</xdr:row>
      <xdr:rowOff>83820</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DCE18C7C-439C-3F5D-63F9-24D369CCC7F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610100" y="1851661"/>
              <a:ext cx="1828800" cy="86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289560</xdr:colOff>
      <xdr:row>14</xdr:row>
      <xdr:rowOff>137160</xdr:rowOff>
    </xdr:from>
    <xdr:to>
      <xdr:col>9</xdr:col>
      <xdr:colOff>487680</xdr:colOff>
      <xdr:row>28</xdr:row>
      <xdr:rowOff>148590</xdr:rowOff>
    </xdr:to>
    <xdr:graphicFrame macro="">
      <xdr:nvGraphicFramePr>
        <xdr:cNvPr id="5" name="Chart 4">
          <a:extLst>
            <a:ext uri="{FF2B5EF4-FFF2-40B4-BE49-F238E27FC236}">
              <a16:creationId xmlns:a16="http://schemas.microsoft.com/office/drawing/2014/main" id="{E4084ED5-1478-4336-99F0-2F8BEC246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91440</xdr:colOff>
      <xdr:row>4</xdr:row>
      <xdr:rowOff>22860</xdr:rowOff>
    </xdr:from>
    <xdr:to>
      <xdr:col>11</xdr:col>
      <xdr:colOff>137160</xdr:colOff>
      <xdr:row>6</xdr:row>
      <xdr:rowOff>152400</xdr:rowOff>
    </xdr:to>
    <xdr:sp macro="" textlink="">
      <xdr:nvSpPr>
        <xdr:cNvPr id="6" name="Rectangle 5">
          <a:extLst>
            <a:ext uri="{FF2B5EF4-FFF2-40B4-BE49-F238E27FC236}">
              <a16:creationId xmlns:a16="http://schemas.microsoft.com/office/drawing/2014/main" id="{636BEEF5-3445-7D32-AC2F-CA089746A43E}"/>
            </a:ext>
          </a:extLst>
        </xdr:cNvPr>
        <xdr:cNvSpPr/>
      </xdr:nvSpPr>
      <xdr:spPr>
        <a:xfrm>
          <a:off x="5577840" y="1013460"/>
          <a:ext cx="1264920" cy="495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performer</a:t>
          </a:r>
          <a:r>
            <a:rPr lang="en-IN">
              <a:effectLst/>
            </a:rPr>
            <a:t> </a:t>
          </a:r>
          <a:r>
            <a:rPr lang="en-IN" sz="1100" b="0" i="0" u="none" strike="noStrike">
              <a:solidFill>
                <a:schemeClr val="lt1"/>
              </a:solidFill>
              <a:effectLst/>
              <a:latin typeface="+mn-lt"/>
              <a:ea typeface="+mn-ea"/>
              <a:cs typeface="+mn-cs"/>
            </a:rPr>
            <a:t>ravi</a:t>
          </a:r>
          <a:r>
            <a:rPr lang="en-IN">
              <a:effectLst/>
            </a:rPr>
            <a:t> </a:t>
          </a:r>
          <a:r>
            <a:rPr lang="en-IN" sz="1100" b="0" i="0" u="none" strike="noStrike">
              <a:solidFill>
                <a:schemeClr val="lt1"/>
              </a:solidFill>
              <a:effectLst/>
              <a:latin typeface="+mn-lt"/>
              <a:ea typeface="+mn-ea"/>
              <a:cs typeface="+mn-cs"/>
            </a:rPr>
            <a:t>sales: 20000</a:t>
          </a:r>
          <a:r>
            <a:rPr lang="en-IN">
              <a:effectLst/>
            </a:rPr>
            <a:t> </a:t>
          </a:r>
          <a:endParaRPr lang="en-IN" sz="1100"/>
        </a:p>
      </xdr:txBody>
    </xdr:sp>
    <xdr:clientData/>
  </xdr:twoCellAnchor>
  <xdr:twoCellAnchor editAs="oneCell">
    <xdr:from>
      <xdr:col>10</xdr:col>
      <xdr:colOff>160020</xdr:colOff>
      <xdr:row>14</xdr:row>
      <xdr:rowOff>167640</xdr:rowOff>
    </xdr:from>
    <xdr:to>
      <xdr:col>13</xdr:col>
      <xdr:colOff>160020</xdr:colOff>
      <xdr:row>22</xdr:row>
      <xdr:rowOff>160020</xdr:rowOff>
    </xdr:to>
    <mc:AlternateContent xmlns:mc="http://schemas.openxmlformats.org/markup-compatibility/2006">
      <mc:Choice xmlns:a14="http://schemas.microsoft.com/office/drawing/2010/main" Requires="a14">
        <xdr:graphicFrame macro="">
          <xdr:nvGraphicFramePr>
            <xdr:cNvPr id="12" name="employee">
              <a:extLst>
                <a:ext uri="{FF2B5EF4-FFF2-40B4-BE49-F238E27FC236}">
                  <a16:creationId xmlns:a16="http://schemas.microsoft.com/office/drawing/2014/main" id="{ED6ED0EE-36CD-48A5-AAAD-F093E9BE03F9}"/>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6256020" y="2987040"/>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6</xdr:row>
      <xdr:rowOff>160020</xdr:rowOff>
    </xdr:from>
    <xdr:to>
      <xdr:col>5</xdr:col>
      <xdr:colOff>297180</xdr:colOff>
      <xdr:row>20</xdr:row>
      <xdr:rowOff>171450</xdr:rowOff>
    </xdr:to>
    <xdr:graphicFrame macro="">
      <xdr:nvGraphicFramePr>
        <xdr:cNvPr id="2" name="Chart 1">
          <a:extLst>
            <a:ext uri="{FF2B5EF4-FFF2-40B4-BE49-F238E27FC236}">
              <a16:creationId xmlns:a16="http://schemas.microsoft.com/office/drawing/2014/main" id="{7E9BECCF-2D56-EBD6-6F55-D9BABE0B7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6</xdr:row>
      <xdr:rowOff>129540</xdr:rowOff>
    </xdr:from>
    <xdr:to>
      <xdr:col>10</xdr:col>
      <xdr:colOff>586740</xdr:colOff>
      <xdr:row>21</xdr:row>
      <xdr:rowOff>7620</xdr:rowOff>
    </xdr:to>
    <xdr:graphicFrame macro="">
      <xdr:nvGraphicFramePr>
        <xdr:cNvPr id="3" name="Chart 2">
          <a:extLst>
            <a:ext uri="{FF2B5EF4-FFF2-40B4-BE49-F238E27FC236}">
              <a16:creationId xmlns:a16="http://schemas.microsoft.com/office/drawing/2014/main" id="{DCA056E9-64E0-83BF-F6FF-2A171B4D6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ena Sweety Salagala" refreshedDate="46198.641192708332" createdVersion="8" refreshedVersion="8" minRefreshableVersion="3" recordCount="5" xr:uid="{00FED931-7587-4A68-91A0-2543912922DF}">
  <cacheSource type="worksheet">
    <worksheetSource ref="A1:D6" sheet="Sheet1"/>
  </cacheSource>
  <cacheFields count="4">
    <cacheField name="employee" numFmtId="0">
      <sharedItems/>
    </cacheField>
    <cacheField name="region" numFmtId="0">
      <sharedItems count="2">
        <s v="hyd"/>
        <s v="guntur"/>
      </sharedItems>
    </cacheField>
    <cacheField name="product" numFmtId="0">
      <sharedItems count="2">
        <s v="mobile"/>
        <s v="laptop"/>
      </sharedItems>
    </cacheField>
    <cacheField name="sales" numFmtId="0">
      <sharedItems containsSemiMixedTypes="0" containsString="0" containsNumber="1" containsInteger="1" minValue="8000" maxValue="20000"/>
    </cacheField>
  </cacheFields>
  <extLst>
    <ext xmlns:x14="http://schemas.microsoft.com/office/spreadsheetml/2009/9/main" uri="{725AE2AE-9491-48be-B2B4-4EB974FC3084}">
      <x14:pivotCacheDefinition pivotCacheId="9247013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eena Sweety Salagala" refreshedDate="46199.631953124997" createdVersion="8" refreshedVersion="8" minRefreshableVersion="3" recordCount="4" xr:uid="{A4EF8890-8EB0-497E-A4DC-D017FF5FD256}">
  <cacheSource type="worksheet">
    <worksheetSource name="Table12_2"/>
  </cacheSource>
  <cacheFields count="2">
    <cacheField name="employee" numFmtId="0">
      <sharedItems count="4">
        <s v="ravi"/>
        <s v="ram"/>
        <s v="sita"/>
        <s v="kumar"/>
      </sharedItems>
    </cacheField>
    <cacheField name="sales" numFmtId="0">
      <sharedItems containsSemiMixedTypes="0" containsString="0" containsNumber="1" containsInteger="1" minValue="0" maxValue="20000" count="4">
        <n v="20000"/>
        <n v="12000"/>
        <n v="0"/>
        <n v="10000"/>
      </sharedItems>
    </cacheField>
  </cacheFields>
  <extLst>
    <ext xmlns:x14="http://schemas.microsoft.com/office/spreadsheetml/2009/9/main" uri="{725AE2AE-9491-48be-B2B4-4EB974FC3084}">
      <x14:pivotCacheDefinition pivotCacheId="619144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ram"/>
    <x v="0"/>
    <x v="0"/>
    <n v="10000"/>
  </r>
  <r>
    <s v="ravi"/>
    <x v="1"/>
    <x v="1"/>
    <n v="20000"/>
  </r>
  <r>
    <s v="sita"/>
    <x v="0"/>
    <x v="1"/>
    <n v="15000"/>
  </r>
  <r>
    <s v="rani"/>
    <x v="1"/>
    <x v="0"/>
    <n v="12000"/>
  </r>
  <r>
    <s v="kumar"/>
    <x v="0"/>
    <x v="0"/>
    <n v="8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C359F-2B90-4749-A67D-465EC5D09A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4">
    <pivotField showAll="0"/>
    <pivotField showAll="0">
      <items count="3">
        <item x="1"/>
        <item x="0"/>
        <item t="default"/>
      </items>
    </pivotField>
    <pivotField axis="axisRow" showAll="0">
      <items count="3">
        <item x="1"/>
        <item x="0"/>
        <item t="default"/>
      </items>
    </pivotField>
    <pivotField dataField="1" showAll="0"/>
  </pivotFields>
  <rowFields count="1">
    <field x="2"/>
  </rowFields>
  <rowItems count="3">
    <i>
      <x/>
    </i>
    <i>
      <x v="1"/>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F53F1-901B-4FBC-8EBD-EBA596A587A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
    <pivotField axis="axisRow" showAll="0">
      <items count="5">
        <item x="3"/>
        <item x="1"/>
        <item x="0"/>
        <item x="2"/>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9" xr16:uid="{188027F4-39A7-4D29-BA61-AA0B175D7E04}" autoFormatId="16" applyNumberFormats="0" applyBorderFormats="0" applyFontFormats="0" applyPatternFormats="0" applyAlignmentFormats="0" applyWidthHeightFormats="0">
  <queryTableRefresh nextId="3">
    <queryTableFields count="2">
      <queryTableField id="1" name="employee" tableColumnId="1"/>
      <queryTableField id="2" name="sales"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8" xr16:uid="{15D42B92-39AF-4052-89F8-AC232A63CA57}" autoFormatId="16" applyNumberFormats="0" applyBorderFormats="0" applyFontFormats="0" applyPatternFormats="0" applyAlignmentFormats="0" applyWidthHeightFormats="0">
  <queryTableRefresh nextId="2">
    <queryTableFields count="1">
      <queryTableField id="1" name="employee details"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7" xr16:uid="{4BAF386A-2722-461B-8B30-6CDA04D80112}" autoFormatId="16" applyNumberFormats="0" applyBorderFormats="0" applyFontFormats="0" applyPatternFormats="0" applyAlignmentFormats="0" applyWidthHeightFormats="0">
  <queryTableRefresh nextId="3">
    <queryTableFields count="2">
      <queryTableField id="1" name="Column1.1" tableColumnId="1"/>
      <queryTableField id="2" name="Column1.2"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2A7698C2-0090-41D5-A194-980AD68CDD3B}" autoFormatId="16" applyNumberFormats="0" applyBorderFormats="0" applyFontFormats="0" applyPatternFormats="0" applyAlignmentFormats="0" applyWidthHeightFormats="0">
  <queryTableRefresh nextId="3">
    <queryTableFields count="2">
      <queryTableField id="1" name="employee" tableColumnId="1"/>
      <queryTableField id="2" name="sales"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5BFB15DE-7821-4E3A-8B42-4E54AA671E98}" autoFormatId="16" applyNumberFormats="0" applyBorderFormats="0" applyFontFormats="0" applyPatternFormats="0" applyAlignmentFormats="0" applyWidthHeightFormats="0">
  <queryTableRefresh nextId="3">
    <queryTableFields count="2">
      <queryTableField id="1" name="employee" tableColumnId="1"/>
      <queryTableField id="2" name="sales"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C76D694E-CFCF-4CB1-9AE1-214D64D9F0DD}" autoFormatId="16" applyNumberFormats="0" applyBorderFormats="0" applyFontFormats="0" applyPatternFormats="0" applyAlignmentFormats="0" applyWidthHeightFormats="0">
  <queryTableRefresh nextId="3">
    <queryTableFields count="2">
      <queryTableField id="1" name="employee" tableColumnId="1"/>
      <queryTableField id="2" name="sales"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5" xr16:uid="{8C5F9BEE-3A3E-41C3-B9FA-CD93FE8A632B}" autoFormatId="16" applyNumberFormats="0" applyBorderFormats="0" applyFontFormats="0" applyPatternFormats="0" applyAlignmentFormats="0" applyWidthHeightFormats="0">
  <queryTableRefresh nextId="3">
    <queryTableFields count="2">
      <queryTableField id="1" name="employee" tableColumnId="1"/>
      <queryTableField id="2" name="sales"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4" xr16:uid="{71A47A89-BC46-41B9-B34A-3C80914F42CC}" autoFormatId="16" applyNumberFormats="0" applyBorderFormats="0" applyFontFormats="0" applyPatternFormats="0" applyAlignmentFormats="0" applyWidthHeightFormats="0">
  <queryTableRefresh nextId="3">
    <queryTableFields count="2">
      <queryTableField id="1" name="employee" tableColumnId="1"/>
      <queryTableField id="2" name="sale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CF61FF-C01E-4CD0-82BF-9C086A506FEE}" sourceName="region">
  <pivotTables>
    <pivotTable tabId="3" name="PivotTable1"/>
  </pivotTables>
  <data>
    <tabular pivotCacheId="92470137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AFD21A-B9D2-415F-BF5A-123C0CAE7A15}" sourceName="product">
  <pivotTables>
    <pivotTable tabId="3" name="PivotTable1"/>
  </pivotTables>
  <data>
    <tabular pivotCacheId="92470137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EE81813B-680B-46AD-B069-6BAE4BA51E80}" sourceName="employee">
  <pivotTables>
    <pivotTable tabId="18" name="PivotTable1"/>
  </pivotTables>
  <data>
    <tabular pivotCacheId="619144024">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DF630C-25F3-4649-8F37-8A3497F26E69}" cache="Slicer_region" caption="region" rowHeight="234950"/>
  <slicer name="product" xr10:uid="{4B6AB08F-BD6D-453C-90EE-2F22B72FF124}" cache="Slicer_product" caption="product" rowHeight="234950"/>
  <slicer name="employee" xr10:uid="{E46EC83B-C4AA-4EBB-94BD-099CFB7ED3CF}" cache="Slicer_employee" caption="employe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39E1BDD-6DFD-447F-B94A-01E13662D43F}" name="Table9_1" displayName="Table9_1" ref="A1:B5" tableType="queryTable" totalsRowShown="0">
  <autoFilter ref="A1:B5" xr:uid="{139E1BDD-6DFD-447F-B94A-01E13662D43F}"/>
  <tableColumns count="2">
    <tableColumn id="1" xr3:uid="{078AF83B-9E31-4CA0-9838-1B5476734405}" uniqueName="1" name="employee" queryTableFieldId="1" dataDxfId="12"/>
    <tableColumn id="2" xr3:uid="{130B4C94-A959-4C3E-BD60-88D2EBAEAD54}" uniqueName="2" name="sales"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0C89265-85E6-4FC1-8031-E4C81626BBFE}" name="Table7_1" displayName="Table7_1" ref="A1:A5" tableType="queryTable" totalsRowShown="0">
  <autoFilter ref="A1:A5" xr:uid="{70C89265-85E6-4FC1-8031-E4C81626BBFE}"/>
  <tableColumns count="1">
    <tableColumn id="1" xr3:uid="{E269D870-734C-4BA9-9AD8-BC168BC161B3}" uniqueName="1" name="employee details" queryTableFieldId="1"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8995B8C-7D43-4A0D-8D75-C8C69D14A327}" name="Table9" displayName="Table9" ref="C1:D4" totalsRowShown="0">
  <autoFilter ref="C1:D4" xr:uid="{08995B8C-7D43-4A0D-8D75-C8C69D14A327}"/>
  <tableColumns count="2">
    <tableColumn id="1" xr3:uid="{AB4352CA-0647-4C3B-B428-894145A4B6C5}" name="employee"/>
    <tableColumn id="2" xr3:uid="{F9468C58-5CA2-4ABD-A786-A1DBB6956604}" name="sal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227082-76B7-4BCA-B47E-C0A58815B1F3}" name="Table5_1" displayName="Table5_1" ref="A1:B5" tableType="queryTable" totalsRowShown="0">
  <autoFilter ref="A1:B5" xr:uid="{3D227082-76B7-4BCA-B47E-C0A58815B1F3}"/>
  <tableColumns count="2">
    <tableColumn id="1" xr3:uid="{83AD8D2A-B631-4BB6-9709-D80E6D9CEE9F}" uniqueName="1" name="Column1.1" queryTableFieldId="1" dataDxfId="10"/>
    <tableColumn id="2" xr3:uid="{501C9F1E-60D8-47B2-8057-3319B6675814}" uniqueName="2" name="Column1.2" queryTableFieldId="2" dataDxf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8840210-D60C-4B89-BAF9-931C8243C8B3}" name="Table7" displayName="Table7" ref="D1:E5" totalsRowShown="0">
  <autoFilter ref="D1:E5" xr:uid="{D8840210-D60C-4B89-BAF9-931C8243C8B3}"/>
  <tableColumns count="2">
    <tableColumn id="1" xr3:uid="{D90429C5-5FCC-4074-98D1-5E0D296F2C4B}" name="Column1"/>
    <tableColumn id="2" xr3:uid="{FABE79CD-B827-4916-808B-65D3F504F9DB}" name="Column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B5FF51-CCAA-4425-9B9A-7B58DE699DF0}" name="Table1_3" displayName="Table1_3" ref="A1:B4" tableType="queryTable" totalsRowShown="0">
  <autoFilter ref="A1:B4" xr:uid="{2AB5FF51-CCAA-4425-9B9A-7B58DE699DF0}"/>
  <tableColumns count="2">
    <tableColumn id="1" xr3:uid="{606D9C27-8996-462F-8727-3B905F9C830F}" uniqueName="1" name="employee" queryTableFieldId="1" dataDxfId="8"/>
    <tableColumn id="2" xr3:uid="{AE68F2F5-6052-4BCE-B8CB-5EE752F6AF7D}" uniqueName="2" name="sales"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3EE4B4-BBD6-47CB-BFCB-09B6F335E335}" name="Table5" displayName="Table5" ref="D1:D5" totalsRowShown="0">
  <autoFilter ref="D1:D5" xr:uid="{A13EE4B4-BBD6-47CB-BFCB-09B6F335E335}"/>
  <tableColumns count="1">
    <tableColumn id="1" xr3:uid="{87CDCB52-65A0-4EB0-8CA6-EDA4C0C8210C}" name="Column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9F6D7B-83C1-47FE-9C14-753B761ED36F}" name="Table1_2" displayName="Table1_2" ref="A1:B4" tableType="queryTable" totalsRowShown="0">
  <autoFilter ref="A1:B4" xr:uid="{759F6D7B-83C1-47FE-9C14-753B761ED36F}"/>
  <tableColumns count="2">
    <tableColumn id="1" xr3:uid="{5CEF37B8-C20A-4007-A373-47E0A4A34150}" uniqueName="1" name="employee" queryTableFieldId="1" dataDxfId="7"/>
    <tableColumn id="2" xr3:uid="{F403B5AE-0746-42D9-9D86-0A17FD89237D}" uniqueName="2" name="sales"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D0A6609-C524-4E5B-98AC-E2CCAF366C9E}" name="Table2_1" displayName="Table2_1" ref="A1:B5" tableType="queryTable" totalsRowShown="0">
  <autoFilter ref="A1:B5" xr:uid="{DD0A6609-C524-4E5B-98AC-E2CCAF366C9E}"/>
  <tableColumns count="2">
    <tableColumn id="1" xr3:uid="{7119112B-D9FE-494F-8A47-D1B02D139E1C}" uniqueName="1" name="employee" queryTableFieldId="1" dataDxfId="6"/>
    <tableColumn id="2" xr3:uid="{6C7452BB-B6D7-41A6-B9CF-48241DD49D8C}" uniqueName="2" name="sales"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004851D-7C55-4A5F-A255-D6434DC7035A}" name="Table12_2" displayName="Table12_2" ref="A1:B5" tableType="queryTable" totalsRowShown="0">
  <autoFilter ref="A1:B5" xr:uid="{2004851D-7C55-4A5F-A255-D6434DC7035A}"/>
  <tableColumns count="2">
    <tableColumn id="1" xr3:uid="{61E7F5D1-FB84-47FA-9224-96720C40C7D1}" uniqueName="1" name="employee" queryTableFieldId="1" dataDxfId="5"/>
    <tableColumn id="2" xr3:uid="{C902B3E1-98CC-4BFF-9706-D5A946965057}" uniqueName="2" name="sales"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31044B0-702E-4535-AB7A-DA0DAA70C421}" name="Table12_1" displayName="Table12_1" ref="A1:B6" tableType="queryTable" totalsRowShown="0">
  <autoFilter ref="A1:B6" xr:uid="{B31044B0-702E-4535-AB7A-DA0DAA70C421}"/>
  <tableColumns count="2">
    <tableColumn id="1" xr3:uid="{8DEE093A-D247-4908-97AC-17AFB0E2847D}" uniqueName="1" name="employee" queryTableFieldId="1" dataDxfId="4"/>
    <tableColumn id="2" xr3:uid="{19A5E35D-A9E8-4601-8FA3-F34ADB0CB6BB}" uniqueName="2" name="sales" queryTableFieldId="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132DF8F-C697-4835-A66A-4E86FAD344F6}" name="Table12" displayName="Table12" ref="A1:B6" totalsRowShown="0">
  <autoFilter ref="A1:B6" xr:uid="{2132DF8F-C697-4835-A66A-4E86FAD344F6}"/>
  <tableColumns count="2">
    <tableColumn id="1" xr3:uid="{32D5A05F-8F31-43E7-95E9-425D8DBDED35}" name="employee"/>
    <tableColumn id="2" xr3:uid="{A997DF5B-F5D9-4120-A3D2-5DCA69765519}" name="sal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6F3FEC-D66F-4AAF-B97C-AD0436381D6F}" name="Table2" displayName="Table2" ref="A1:B5" totalsRowShown="0">
  <autoFilter ref="A1:B5" xr:uid="{146F3FEC-D66F-4AAF-B97C-AD0436381D6F}"/>
  <tableColumns count="2">
    <tableColumn id="1" xr3:uid="{5AFFBB70-980A-4176-96F9-E977DD695690}" name="employee"/>
    <tableColumn id="2" xr3:uid="{72A658D1-359F-47A3-BE5F-E0AA0E049FA4}" name="sale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10B3B2-AA62-4386-9A59-AC8EFDCABFF9}" name="Table1" displayName="Table1" ref="A1:B5" totalsRowShown="0">
  <autoFilter ref="A1:B5" xr:uid="{2310B3B2-AA62-4386-9A59-AC8EFDCABFF9}"/>
  <tableColumns count="2">
    <tableColumn id="1" xr3:uid="{C7274156-5FAE-4AEF-9740-ED7F154EC5D0}" name="employee"/>
    <tableColumn id="2" xr3:uid="{4C0D59D3-AF68-426C-9E87-B4426310AC6A}"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DE5D-F508-4A8E-8D0E-0B180723462E}">
  <dimension ref="A3:B6"/>
  <sheetViews>
    <sheetView workbookViewId="0">
      <selection activeCell="B4" sqref="B4"/>
    </sheetView>
  </sheetViews>
  <sheetFormatPr defaultRowHeight="14.4" x14ac:dyDescent="0.3"/>
  <cols>
    <col min="1" max="1" width="12.5546875" bestFit="1" customWidth="1"/>
    <col min="2" max="2" width="11.44140625" bestFit="1" customWidth="1"/>
  </cols>
  <sheetData>
    <row r="3" spans="1:2" x14ac:dyDescent="0.3">
      <c r="A3" s="1" t="s">
        <v>13</v>
      </c>
      <c r="B3" t="s">
        <v>15</v>
      </c>
    </row>
    <row r="4" spans="1:2" x14ac:dyDescent="0.3">
      <c r="A4" s="2" t="s">
        <v>11</v>
      </c>
      <c r="B4">
        <v>35000</v>
      </c>
    </row>
    <row r="5" spans="1:2" x14ac:dyDescent="0.3">
      <c r="A5" s="2" t="s">
        <v>10</v>
      </c>
      <c r="B5">
        <v>30000</v>
      </c>
    </row>
    <row r="6" spans="1:2" x14ac:dyDescent="0.3">
      <c r="A6" s="2" t="s">
        <v>14</v>
      </c>
      <c r="B6">
        <v>65000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E05F7-2F21-4A03-953F-C491083D9D24}">
  <dimension ref="A1:D6"/>
  <sheetViews>
    <sheetView workbookViewId="0">
      <selection activeCell="B6" sqref="A1:D6"/>
    </sheetView>
  </sheetViews>
  <sheetFormatPr defaultRowHeight="14.4" x14ac:dyDescent="0.3"/>
  <sheetData>
    <row r="1" spans="1:4" x14ac:dyDescent="0.3">
      <c r="A1" t="s">
        <v>0</v>
      </c>
      <c r="B1" t="s">
        <v>6</v>
      </c>
      <c r="C1" t="s">
        <v>9</v>
      </c>
      <c r="D1" t="s">
        <v>12</v>
      </c>
    </row>
    <row r="2" spans="1:4" x14ac:dyDescent="0.3">
      <c r="A2" t="s">
        <v>1</v>
      </c>
      <c r="B2" t="s">
        <v>7</v>
      </c>
      <c r="C2" t="s">
        <v>10</v>
      </c>
      <c r="D2">
        <v>10000</v>
      </c>
    </row>
    <row r="3" spans="1:4" x14ac:dyDescent="0.3">
      <c r="A3" t="s">
        <v>2</v>
      </c>
      <c r="B3" t="s">
        <v>8</v>
      </c>
      <c r="C3" t="s">
        <v>11</v>
      </c>
      <c r="D3">
        <v>20000</v>
      </c>
    </row>
    <row r="4" spans="1:4" x14ac:dyDescent="0.3">
      <c r="A4" t="s">
        <v>3</v>
      </c>
      <c r="B4" t="s">
        <v>7</v>
      </c>
      <c r="C4" t="s">
        <v>11</v>
      </c>
      <c r="D4">
        <v>15000</v>
      </c>
    </row>
    <row r="5" spans="1:4" x14ac:dyDescent="0.3">
      <c r="A5" t="s">
        <v>4</v>
      </c>
      <c r="B5" t="s">
        <v>8</v>
      </c>
      <c r="C5" t="s">
        <v>10</v>
      </c>
      <c r="D5">
        <v>12000</v>
      </c>
    </row>
    <row r="6" spans="1:4" x14ac:dyDescent="0.3">
      <c r="A6" t="s">
        <v>5</v>
      </c>
      <c r="B6" t="s">
        <v>7</v>
      </c>
      <c r="C6" t="s">
        <v>10</v>
      </c>
      <c r="D6">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8661F-685D-49BA-B8BD-6C2DB893AB05}">
  <dimension ref="C2:M3"/>
  <sheetViews>
    <sheetView showGridLines="0" tabSelected="1" topLeftCell="A3" workbookViewId="0">
      <selection activeCell="U11" sqref="U11"/>
    </sheetView>
  </sheetViews>
  <sheetFormatPr defaultRowHeight="14.4" x14ac:dyDescent="0.3"/>
  <sheetData>
    <row r="2" spans="3:13" ht="25.8" x14ac:dyDescent="0.5">
      <c r="C2" s="5" t="s">
        <v>16</v>
      </c>
      <c r="M2" s="4"/>
    </row>
    <row r="3" spans="3:13" ht="23.4" x14ac:dyDescent="0.45">
      <c r="F3" s="3" t="s">
        <v>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23ACB-AA53-4AC3-B59E-503AAEEB04C8}">
  <dimension ref="A1:N17"/>
  <sheetViews>
    <sheetView workbookViewId="0">
      <selection activeCell="G2" sqref="G2"/>
    </sheetView>
  </sheetViews>
  <sheetFormatPr defaultRowHeight="14.4" x14ac:dyDescent="0.3"/>
  <sheetData>
    <row r="1" spans="1:14" x14ac:dyDescent="0.3">
      <c r="A1" t="s">
        <v>27</v>
      </c>
      <c r="B1" t="s">
        <v>0</v>
      </c>
      <c r="C1" t="s">
        <v>28</v>
      </c>
      <c r="D1" t="s">
        <v>31</v>
      </c>
      <c r="F1" t="s">
        <v>32</v>
      </c>
      <c r="G1" t="s">
        <v>33</v>
      </c>
      <c r="H1" t="s">
        <v>28</v>
      </c>
      <c r="I1" t="s">
        <v>31</v>
      </c>
      <c r="K1" t="s">
        <v>34</v>
      </c>
      <c r="L1" t="s">
        <v>33</v>
      </c>
      <c r="M1" t="s">
        <v>28</v>
      </c>
      <c r="N1" t="s">
        <v>31</v>
      </c>
    </row>
    <row r="2" spans="1:14" x14ac:dyDescent="0.3">
      <c r="A2">
        <v>101</v>
      </c>
      <c r="B2" t="s">
        <v>2</v>
      </c>
      <c r="C2" t="s">
        <v>12</v>
      </c>
      <c r="D2">
        <v>20000</v>
      </c>
      <c r="F2">
        <v>103</v>
      </c>
      <c r="G2" t="str">
        <f>VLOOKUP(F2,A2:D6,2,FALSE)</f>
        <v>rani</v>
      </c>
      <c r="H2" t="str">
        <f>VLOOKUP(F2,A2:D6,3,FALSE)</f>
        <v>it</v>
      </c>
      <c r="I2">
        <f>VLOOKUP(F2,A2:D6,4,FALSE)</f>
        <v>18000</v>
      </c>
      <c r="K2">
        <v>103</v>
      </c>
      <c r="L2" t="str">
        <f>_xlfn.XLOOKUP(K2,A2:A6,B2:B6)</f>
        <v>rani</v>
      </c>
      <c r="M2" t="str">
        <f>_xlfn.XLOOKUP(K2,A2:A6,C2:C6)</f>
        <v>it</v>
      </c>
      <c r="N2">
        <f>_xlfn.XLOOKUP(K2,A2:A6,D2:D6)</f>
        <v>18000</v>
      </c>
    </row>
    <row r="3" spans="1:14" x14ac:dyDescent="0.3">
      <c r="A3">
        <v>102</v>
      </c>
      <c r="B3" t="s">
        <v>3</v>
      </c>
      <c r="C3" t="s">
        <v>29</v>
      </c>
      <c r="D3">
        <v>15000</v>
      </c>
      <c r="F3">
        <v>104</v>
      </c>
      <c r="G3" t="str">
        <f>VLOOKUP(F3,A2:D6,2,FALSE)</f>
        <v>ram</v>
      </c>
      <c r="H3" t="str">
        <f t="shared" ref="H3:H6" si="0">VLOOKUP(F3,A3:D7,3,FALSE)</f>
        <v>sales</v>
      </c>
      <c r="I3">
        <f t="shared" ref="I3:I6" si="1">VLOOKUP(F3,A3:D7,4,FALSE)</f>
        <v>12000</v>
      </c>
      <c r="K3">
        <v>101</v>
      </c>
      <c r="L3" t="str">
        <f>_xlfn.XLOOKUP(K3,A2:A6,B2:B6)</f>
        <v>ravi</v>
      </c>
      <c r="M3" t="str">
        <f>_xlfn.XLOOKUP(K3,A2:A6,C2:C6)</f>
        <v>sales</v>
      </c>
      <c r="N3">
        <f>_xlfn.XLOOKUP(K3,A2:A6,D2:D6)</f>
        <v>20000</v>
      </c>
    </row>
    <row r="4" spans="1:14" x14ac:dyDescent="0.3">
      <c r="A4">
        <v>103</v>
      </c>
      <c r="B4" t="s">
        <v>4</v>
      </c>
      <c r="C4" t="s">
        <v>30</v>
      </c>
      <c r="D4">
        <v>18000</v>
      </c>
      <c r="F4">
        <v>101</v>
      </c>
      <c r="G4" t="str">
        <f>VLOOKUP(F4,A2:D6,2,FALSE)</f>
        <v>ravi</v>
      </c>
      <c r="H4" t="str">
        <f>VLOOKUP(F4,A2:D6,3,FALSE)</f>
        <v>sales</v>
      </c>
      <c r="I4">
        <f>VLOOKUP(F4,A2:D6,4,FALSE)</f>
        <v>20000</v>
      </c>
      <c r="K4">
        <v>102</v>
      </c>
      <c r="L4" t="str">
        <f>_xlfn.XLOOKUP(K4,A2:A6,B2:B6)</f>
        <v>sita</v>
      </c>
      <c r="M4" t="str">
        <f>_xlfn.XLOOKUP(K4,A2:A6,C2:C6)</f>
        <v>hr</v>
      </c>
      <c r="N4">
        <f>_xlfn.XLOOKUP(K4,A2:A6,D2:D6)</f>
        <v>15000</v>
      </c>
    </row>
    <row r="5" spans="1:14" x14ac:dyDescent="0.3">
      <c r="A5">
        <v>104</v>
      </c>
      <c r="B5" t="s">
        <v>1</v>
      </c>
      <c r="C5" t="s">
        <v>12</v>
      </c>
      <c r="D5">
        <v>12000</v>
      </c>
      <c r="F5">
        <v>102</v>
      </c>
      <c r="G5" t="str">
        <f>VLOOKUP(F5,A3:D7,2,FALSE)</f>
        <v>sita</v>
      </c>
      <c r="H5" t="str">
        <f>VLOOKUP(F5,A2:D6,3,FALSE)</f>
        <v>hr</v>
      </c>
      <c r="I5">
        <f>VLOOKUP(F5,A2:D6,4,FALSE)</f>
        <v>15000</v>
      </c>
      <c r="K5">
        <v>104</v>
      </c>
      <c r="L5" t="str">
        <f t="shared" ref="L5:L6" si="2">_xlfn.XLOOKUP(K5,A5:A9,B5:B9)</f>
        <v>ram</v>
      </c>
      <c r="M5" t="str">
        <f t="shared" ref="M5:M6" si="3">_xlfn.XLOOKUP(K5,A5:A9,C5:C9)</f>
        <v>sales</v>
      </c>
      <c r="N5">
        <f t="shared" ref="N5:N6" si="4">_xlfn.XLOOKUP(K5,A5:A9,D5:D9)</f>
        <v>12000</v>
      </c>
    </row>
    <row r="6" spans="1:14" x14ac:dyDescent="0.3">
      <c r="A6">
        <v>105</v>
      </c>
      <c r="B6" t="s">
        <v>5</v>
      </c>
      <c r="C6" t="s">
        <v>29</v>
      </c>
      <c r="D6">
        <v>10000</v>
      </c>
      <c r="F6">
        <v>105</v>
      </c>
      <c r="G6" t="str">
        <f t="shared" ref="G6" si="5">VLOOKUP(F6,A5:D9,2,FALSE)</f>
        <v>kumar</v>
      </c>
      <c r="H6" t="str">
        <f t="shared" si="0"/>
        <v>hr</v>
      </c>
      <c r="I6">
        <f t="shared" si="1"/>
        <v>10000</v>
      </c>
      <c r="K6">
        <v>105</v>
      </c>
      <c r="L6" t="str">
        <f t="shared" si="2"/>
        <v>kumar</v>
      </c>
      <c r="M6" t="str">
        <f t="shared" si="3"/>
        <v>hr</v>
      </c>
      <c r="N6">
        <f t="shared" si="4"/>
        <v>10000</v>
      </c>
    </row>
    <row r="10" spans="1:14" ht="25.8" x14ac:dyDescent="0.5">
      <c r="G10" s="5" t="s">
        <v>35</v>
      </c>
      <c r="L10" s="5" t="s">
        <v>36</v>
      </c>
    </row>
    <row r="13" spans="1:14" x14ac:dyDescent="0.3">
      <c r="F13" t="s">
        <v>37</v>
      </c>
    </row>
    <row r="15" spans="1:14" x14ac:dyDescent="0.3">
      <c r="F15" t="s">
        <v>40</v>
      </c>
      <c r="L15" s="6" t="s">
        <v>41</v>
      </c>
    </row>
    <row r="16" spans="1:14" x14ac:dyDescent="0.3">
      <c r="F16" t="s">
        <v>38</v>
      </c>
      <c r="L16" t="s">
        <v>38</v>
      </c>
    </row>
    <row r="17" spans="6:12" x14ac:dyDescent="0.3">
      <c r="F17" t="s">
        <v>39</v>
      </c>
      <c r="L17" t="s">
        <v>42</v>
      </c>
    </row>
  </sheetData>
  <pageMargins left="0.7" right="0.7" top="0.75" bottom="0.75" header="0.3" footer="0.3"/>
  <ignoredErrors>
    <ignoredError sqref="L5:L6 M5:M6 N5:N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6275-C485-46F0-8DD5-385CBF2C9BFA}">
  <dimension ref="A1:B5"/>
  <sheetViews>
    <sheetView workbookViewId="0">
      <selection activeCell="A5" sqref="A5"/>
    </sheetView>
  </sheetViews>
  <sheetFormatPr defaultRowHeight="14.4" x14ac:dyDescent="0.3"/>
  <cols>
    <col min="1" max="1" width="11.5546875" bestFit="1" customWidth="1"/>
    <col min="2" max="2" width="7.21875" bestFit="1" customWidth="1"/>
  </cols>
  <sheetData>
    <row r="1" spans="1:2" x14ac:dyDescent="0.3">
      <c r="A1" t="s">
        <v>0</v>
      </c>
      <c r="B1" t="s">
        <v>12</v>
      </c>
    </row>
    <row r="2" spans="1:2" x14ac:dyDescent="0.3">
      <c r="A2" t="s">
        <v>2</v>
      </c>
      <c r="B2">
        <v>20000</v>
      </c>
    </row>
    <row r="3" spans="1:2" x14ac:dyDescent="0.3">
      <c r="A3" t="s">
        <v>3</v>
      </c>
      <c r="B3">
        <v>15000</v>
      </c>
    </row>
    <row r="4" spans="1:2" x14ac:dyDescent="0.3">
      <c r="A4" t="s">
        <v>1</v>
      </c>
      <c r="B4">
        <v>12000</v>
      </c>
    </row>
    <row r="5" spans="1:2" x14ac:dyDescent="0.3">
      <c r="A5" t="s">
        <v>5</v>
      </c>
      <c r="B5">
        <v>10000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D86C-039D-4D65-98B0-5A3272BFB17D}">
  <dimension ref="A1:D5"/>
  <sheetViews>
    <sheetView workbookViewId="0">
      <selection sqref="A1:A5"/>
    </sheetView>
  </sheetViews>
  <sheetFormatPr defaultRowHeight="14.4" x14ac:dyDescent="0.3"/>
  <cols>
    <col min="1" max="1" width="19.44140625" bestFit="1" customWidth="1"/>
    <col min="3" max="3" width="11.21875" customWidth="1"/>
  </cols>
  <sheetData>
    <row r="1" spans="1:4" x14ac:dyDescent="0.3">
      <c r="A1" t="s">
        <v>43</v>
      </c>
      <c r="C1" t="s">
        <v>0</v>
      </c>
      <c r="D1" t="s">
        <v>12</v>
      </c>
    </row>
    <row r="2" spans="1:4" x14ac:dyDescent="0.3">
      <c r="A2" t="s">
        <v>53</v>
      </c>
      <c r="C2" t="s">
        <v>2</v>
      </c>
      <c r="D2">
        <v>20000</v>
      </c>
    </row>
    <row r="3" spans="1:4" x14ac:dyDescent="0.3">
      <c r="A3" t="s">
        <v>54</v>
      </c>
      <c r="C3" t="s">
        <v>3</v>
      </c>
      <c r="D3">
        <v>15000</v>
      </c>
    </row>
    <row r="4" spans="1:4" x14ac:dyDescent="0.3">
      <c r="A4" t="s">
        <v>55</v>
      </c>
      <c r="C4" t="s">
        <v>1</v>
      </c>
      <c r="D4">
        <v>12000</v>
      </c>
    </row>
    <row r="5" spans="1:4" x14ac:dyDescent="0.3">
      <c r="A5" t="s">
        <v>56</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40F7-46D3-44BD-B870-F135F94CD646}">
  <dimension ref="A1:E5"/>
  <sheetViews>
    <sheetView workbookViewId="0">
      <selection sqref="A1:B5"/>
    </sheetView>
  </sheetViews>
  <sheetFormatPr defaultRowHeight="14.4" x14ac:dyDescent="0.3"/>
  <cols>
    <col min="1" max="2" width="12.33203125" bestFit="1" customWidth="1"/>
    <col min="4" max="5" width="10.44140625" customWidth="1"/>
  </cols>
  <sheetData>
    <row r="1" spans="1:5" x14ac:dyDescent="0.3">
      <c r="A1" t="s">
        <v>48</v>
      </c>
      <c r="B1" t="s">
        <v>49</v>
      </c>
      <c r="D1" t="s">
        <v>47</v>
      </c>
      <c r="E1" t="s">
        <v>52</v>
      </c>
    </row>
    <row r="2" spans="1:5" x14ac:dyDescent="0.3">
      <c r="A2" t="s">
        <v>0</v>
      </c>
      <c r="B2" t="s">
        <v>50</v>
      </c>
      <c r="D2" t="s">
        <v>0</v>
      </c>
      <c r="E2" t="s">
        <v>28</v>
      </c>
    </row>
    <row r="3" spans="1:5" x14ac:dyDescent="0.3">
      <c r="A3" t="s">
        <v>2</v>
      </c>
      <c r="B3" t="s">
        <v>12</v>
      </c>
      <c r="D3" t="s">
        <v>2</v>
      </c>
      <c r="E3" t="s">
        <v>12</v>
      </c>
    </row>
    <row r="4" spans="1:5" x14ac:dyDescent="0.3">
      <c r="A4" t="s">
        <v>51</v>
      </c>
      <c r="B4" t="s">
        <v>29</v>
      </c>
      <c r="D4" t="s">
        <v>3</v>
      </c>
      <c r="E4" t="s">
        <v>29</v>
      </c>
    </row>
    <row r="5" spans="1:5" x14ac:dyDescent="0.3">
      <c r="A5" t="s">
        <v>1</v>
      </c>
      <c r="B5" t="s">
        <v>30</v>
      </c>
      <c r="D5" t="s">
        <v>1</v>
      </c>
      <c r="E5" t="s">
        <v>30</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6B784-62B0-4C03-9591-8362C5F65E7A}">
  <dimension ref="A1:D5"/>
  <sheetViews>
    <sheetView workbookViewId="0">
      <selection sqref="A1:B4"/>
    </sheetView>
  </sheetViews>
  <sheetFormatPr defaultRowHeight="14.4" x14ac:dyDescent="0.3"/>
  <cols>
    <col min="1" max="1" width="11.5546875" bestFit="1" customWidth="1"/>
    <col min="2" max="2" width="7.21875" bestFit="1" customWidth="1"/>
    <col min="4" max="4" width="10.44140625" customWidth="1"/>
  </cols>
  <sheetData>
    <row r="1" spans="1:4" x14ac:dyDescent="0.3">
      <c r="A1" t="s">
        <v>0</v>
      </c>
      <c r="B1" t="s">
        <v>12</v>
      </c>
      <c r="D1" t="s">
        <v>47</v>
      </c>
    </row>
    <row r="2" spans="1:4" x14ac:dyDescent="0.3">
      <c r="A2" t="s">
        <v>2</v>
      </c>
      <c r="B2">
        <v>20000</v>
      </c>
      <c r="D2" t="s">
        <v>43</v>
      </c>
    </row>
    <row r="3" spans="1:4" x14ac:dyDescent="0.3">
      <c r="A3" t="s">
        <v>3</v>
      </c>
      <c r="B3">
        <v>0</v>
      </c>
      <c r="D3" t="s">
        <v>44</v>
      </c>
    </row>
    <row r="4" spans="1:4" x14ac:dyDescent="0.3">
      <c r="A4" t="s">
        <v>1</v>
      </c>
      <c r="B4">
        <v>12000</v>
      </c>
      <c r="D4" t="s">
        <v>45</v>
      </c>
    </row>
    <row r="5" spans="1:4" x14ac:dyDescent="0.3">
      <c r="D5" t="s">
        <v>46</v>
      </c>
    </row>
  </sheetData>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DEBF-F915-485E-9DB2-C8A5770C86AF}">
  <dimension ref="A1:B4"/>
  <sheetViews>
    <sheetView workbookViewId="0">
      <selection sqref="A1:B4"/>
    </sheetView>
  </sheetViews>
  <sheetFormatPr defaultRowHeight="14.4" x14ac:dyDescent="0.3"/>
  <cols>
    <col min="1" max="1" width="11.5546875" bestFit="1" customWidth="1"/>
    <col min="2" max="2" width="7.21875" bestFit="1" customWidth="1"/>
  </cols>
  <sheetData>
    <row r="1" spans="1:2" x14ac:dyDescent="0.3">
      <c r="A1" t="s">
        <v>0</v>
      </c>
      <c r="B1" t="s">
        <v>12</v>
      </c>
    </row>
    <row r="2" spans="1:2" x14ac:dyDescent="0.3">
      <c r="A2" t="s">
        <v>2</v>
      </c>
      <c r="B2">
        <v>20000</v>
      </c>
    </row>
    <row r="3" spans="1:2" x14ac:dyDescent="0.3">
      <c r="A3" t="s">
        <v>3</v>
      </c>
      <c r="B3">
        <v>0</v>
      </c>
    </row>
    <row r="4" spans="1:2" x14ac:dyDescent="0.3">
      <c r="A4" t="s">
        <v>1</v>
      </c>
      <c r="B4">
        <v>12000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40306-CEC6-44B1-9DCB-C7DB0C6E2A31}">
  <dimension ref="A1:B5"/>
  <sheetViews>
    <sheetView workbookViewId="0"/>
  </sheetViews>
  <sheetFormatPr defaultRowHeight="14.4" x14ac:dyDescent="0.3"/>
  <cols>
    <col min="1" max="1" width="11.5546875" bestFit="1" customWidth="1"/>
    <col min="2" max="2" width="7.21875" bestFit="1" customWidth="1"/>
  </cols>
  <sheetData>
    <row r="1" spans="1:2" x14ac:dyDescent="0.3">
      <c r="A1" t="s">
        <v>0</v>
      </c>
      <c r="B1" t="s">
        <v>12</v>
      </c>
    </row>
    <row r="2" spans="1:2" x14ac:dyDescent="0.3">
      <c r="A2" t="s">
        <v>2</v>
      </c>
      <c r="B2">
        <v>20000</v>
      </c>
    </row>
    <row r="3" spans="1:2" x14ac:dyDescent="0.3">
      <c r="A3" t="s">
        <v>3</v>
      </c>
      <c r="B3">
        <v>20000</v>
      </c>
    </row>
    <row r="4" spans="1:2" x14ac:dyDescent="0.3">
      <c r="A4" t="s">
        <v>1</v>
      </c>
    </row>
    <row r="5" spans="1:2" x14ac:dyDescent="0.3">
      <c r="A5" t="s">
        <v>5</v>
      </c>
      <c r="B5">
        <v>12000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6522A-35CD-444F-95A9-2D379EF8352B}">
  <dimension ref="A3:B8"/>
  <sheetViews>
    <sheetView workbookViewId="0">
      <selection activeCell="B6" sqref="B6"/>
    </sheetView>
  </sheetViews>
  <sheetFormatPr defaultRowHeight="14.4" x14ac:dyDescent="0.3"/>
  <cols>
    <col min="1" max="1" width="12.5546875" bestFit="1" customWidth="1"/>
    <col min="2" max="2" width="11.44140625" bestFit="1" customWidth="1"/>
  </cols>
  <sheetData>
    <row r="3" spans="1:2" x14ac:dyDescent="0.3">
      <c r="A3" s="1" t="s">
        <v>13</v>
      </c>
      <c r="B3" t="s">
        <v>15</v>
      </c>
    </row>
    <row r="4" spans="1:2" x14ac:dyDescent="0.3">
      <c r="A4" s="2" t="s">
        <v>5</v>
      </c>
      <c r="B4">
        <v>10000</v>
      </c>
    </row>
    <row r="5" spans="1:2" x14ac:dyDescent="0.3">
      <c r="A5" s="2" t="s">
        <v>1</v>
      </c>
      <c r="B5">
        <v>12000</v>
      </c>
    </row>
    <row r="6" spans="1:2" x14ac:dyDescent="0.3">
      <c r="A6" s="2" t="s">
        <v>2</v>
      </c>
      <c r="B6">
        <v>20000</v>
      </c>
    </row>
    <row r="7" spans="1:2" x14ac:dyDescent="0.3">
      <c r="A7" s="2" t="s">
        <v>3</v>
      </c>
      <c r="B7">
        <v>0</v>
      </c>
    </row>
    <row r="8" spans="1:2" x14ac:dyDescent="0.3">
      <c r="A8" s="2" t="s">
        <v>14</v>
      </c>
      <c r="B8">
        <v>42000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D209-A7B9-4198-B631-00F77FDCBA40}">
  <dimension ref="A1:B5"/>
  <sheetViews>
    <sheetView workbookViewId="0">
      <selection activeCell="A4" sqref="A4"/>
    </sheetView>
  </sheetViews>
  <sheetFormatPr defaultRowHeight="14.4" x14ac:dyDescent="0.3"/>
  <cols>
    <col min="1" max="1" width="11.5546875" bestFit="1" customWidth="1"/>
    <col min="2" max="2" width="7.21875" bestFit="1" customWidth="1"/>
  </cols>
  <sheetData>
    <row r="1" spans="1:2" x14ac:dyDescent="0.3">
      <c r="A1" t="s">
        <v>0</v>
      </c>
      <c r="B1" t="s">
        <v>12</v>
      </c>
    </row>
    <row r="2" spans="1:2" x14ac:dyDescent="0.3">
      <c r="A2" t="s">
        <v>2</v>
      </c>
      <c r="B2">
        <v>20000</v>
      </c>
    </row>
    <row r="3" spans="1:2" x14ac:dyDescent="0.3">
      <c r="A3" t="s">
        <v>1</v>
      </c>
      <c r="B3">
        <v>12000</v>
      </c>
    </row>
    <row r="4" spans="1:2" x14ac:dyDescent="0.3">
      <c r="A4" t="s">
        <v>3</v>
      </c>
      <c r="B4">
        <v>0</v>
      </c>
    </row>
    <row r="5" spans="1:2" x14ac:dyDescent="0.3">
      <c r="A5" t="s">
        <v>5</v>
      </c>
      <c r="B5">
        <v>10000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B0B48-DB39-4645-AA19-82E41266460C}">
  <dimension ref="A1:B6"/>
  <sheetViews>
    <sheetView workbookViewId="0">
      <selection sqref="A1:B6"/>
    </sheetView>
  </sheetViews>
  <sheetFormatPr defaultRowHeight="14.4" x14ac:dyDescent="0.3"/>
  <cols>
    <col min="1" max="1" width="11.5546875" bestFit="1" customWidth="1"/>
    <col min="2" max="2" width="7.21875" bestFit="1" customWidth="1"/>
  </cols>
  <sheetData>
    <row r="1" spans="1:2" x14ac:dyDescent="0.3">
      <c r="A1" t="s">
        <v>0</v>
      </c>
      <c r="B1" t="s">
        <v>12</v>
      </c>
    </row>
    <row r="2" spans="1:2" x14ac:dyDescent="0.3">
      <c r="A2" t="s">
        <v>2</v>
      </c>
      <c r="B2">
        <v>20000</v>
      </c>
    </row>
    <row r="3" spans="1:2" x14ac:dyDescent="0.3">
      <c r="A3" t="s">
        <v>1</v>
      </c>
      <c r="B3">
        <v>12000</v>
      </c>
    </row>
    <row r="4" spans="1:2" x14ac:dyDescent="0.3">
      <c r="A4" t="s">
        <v>3</v>
      </c>
    </row>
    <row r="5" spans="1:2" x14ac:dyDescent="0.3">
      <c r="A5" t="s">
        <v>1</v>
      </c>
      <c r="B5">
        <v>12000</v>
      </c>
    </row>
    <row r="6" spans="1:2" x14ac:dyDescent="0.3">
      <c r="A6" t="s">
        <v>5</v>
      </c>
      <c r="B6">
        <v>10000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9C78-CB95-4288-AB31-D2F3D50AC2C9}">
  <dimension ref="A1:B6"/>
  <sheetViews>
    <sheetView workbookViewId="0">
      <selection sqref="A1:B6"/>
    </sheetView>
  </sheetViews>
  <sheetFormatPr defaultRowHeight="14.4" x14ac:dyDescent="0.3"/>
  <cols>
    <col min="1" max="1" width="11.21875" customWidth="1"/>
  </cols>
  <sheetData>
    <row r="1" spans="1:2" x14ac:dyDescent="0.3">
      <c r="A1" t="s">
        <v>0</v>
      </c>
      <c r="B1" t="s">
        <v>12</v>
      </c>
    </row>
    <row r="2" spans="1:2" x14ac:dyDescent="0.3">
      <c r="A2" t="s">
        <v>2</v>
      </c>
      <c r="B2">
        <v>20000</v>
      </c>
    </row>
    <row r="3" spans="1:2" x14ac:dyDescent="0.3">
      <c r="A3" t="s">
        <v>2</v>
      </c>
      <c r="B3">
        <v>20000</v>
      </c>
    </row>
    <row r="4" spans="1:2" x14ac:dyDescent="0.3">
      <c r="A4" t="s">
        <v>3</v>
      </c>
    </row>
    <row r="5" spans="1:2" x14ac:dyDescent="0.3">
      <c r="A5" t="s">
        <v>1</v>
      </c>
      <c r="B5">
        <v>12000</v>
      </c>
    </row>
    <row r="6" spans="1:2" x14ac:dyDescent="0.3">
      <c r="A6" t="s">
        <v>5</v>
      </c>
      <c r="B6">
        <v>10000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DFC1-B695-4870-AF7F-E93D2C463F0F}">
  <dimension ref="A1:B5"/>
  <sheetViews>
    <sheetView workbookViewId="0">
      <selection sqref="A1:B5"/>
    </sheetView>
  </sheetViews>
  <sheetFormatPr defaultRowHeight="14.4" x14ac:dyDescent="0.3"/>
  <cols>
    <col min="1" max="1" width="11.5546875" bestFit="1" customWidth="1"/>
    <col min="2" max="2" width="7.21875" bestFit="1" customWidth="1"/>
  </cols>
  <sheetData>
    <row r="1" spans="1:2" x14ac:dyDescent="0.3">
      <c r="A1" t="s">
        <v>0</v>
      </c>
      <c r="B1" t="s">
        <v>12</v>
      </c>
    </row>
    <row r="2" spans="1:2" x14ac:dyDescent="0.3">
      <c r="A2" t="s">
        <v>2</v>
      </c>
      <c r="B2">
        <v>20000</v>
      </c>
    </row>
    <row r="3" spans="1:2" x14ac:dyDescent="0.3">
      <c r="A3" t="s">
        <v>3</v>
      </c>
      <c r="B3">
        <v>20000</v>
      </c>
    </row>
    <row r="4" spans="1:2" x14ac:dyDescent="0.3">
      <c r="A4" t="s">
        <v>1</v>
      </c>
    </row>
    <row r="5" spans="1:2" x14ac:dyDescent="0.3">
      <c r="A5" t="s">
        <v>5</v>
      </c>
      <c r="B5">
        <v>12000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90B5-4B57-4A38-8FC3-CE1343C6FA27}">
  <dimension ref="A1:B5"/>
  <sheetViews>
    <sheetView topLeftCell="B1" workbookViewId="0">
      <selection sqref="A1:B5"/>
    </sheetView>
  </sheetViews>
  <sheetFormatPr defaultRowHeight="14.4" x14ac:dyDescent="0.3"/>
  <cols>
    <col min="1" max="1" width="11.21875" customWidth="1"/>
  </cols>
  <sheetData>
    <row r="1" spans="1:2" x14ac:dyDescent="0.3">
      <c r="A1" t="s">
        <v>0</v>
      </c>
      <c r="B1" t="s">
        <v>12</v>
      </c>
    </row>
    <row r="2" spans="1:2" x14ac:dyDescent="0.3">
      <c r="A2" t="s">
        <v>2</v>
      </c>
      <c r="B2">
        <v>20000</v>
      </c>
    </row>
    <row r="3" spans="1:2" x14ac:dyDescent="0.3">
      <c r="A3" t="s">
        <v>2</v>
      </c>
      <c r="B3">
        <v>20000</v>
      </c>
    </row>
    <row r="4" spans="1:2" x14ac:dyDescent="0.3">
      <c r="A4" t="s">
        <v>3</v>
      </c>
    </row>
    <row r="5" spans="1:2" x14ac:dyDescent="0.3">
      <c r="A5" t="s">
        <v>1</v>
      </c>
      <c r="B5">
        <v>12000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4A4-745D-4B1E-B1B2-22B14ADC9C9E}">
  <dimension ref="A1:I6"/>
  <sheetViews>
    <sheetView workbookViewId="0">
      <selection activeCell="I2" sqref="I2:I4"/>
    </sheetView>
  </sheetViews>
  <sheetFormatPr defaultRowHeight="14.4" x14ac:dyDescent="0.3"/>
  <sheetData>
    <row r="1" spans="1:9" x14ac:dyDescent="0.3">
      <c r="A1" t="s">
        <v>0</v>
      </c>
      <c r="B1" t="s">
        <v>12</v>
      </c>
      <c r="C1" t="s">
        <v>25</v>
      </c>
      <c r="D1" t="s">
        <v>26</v>
      </c>
    </row>
    <row r="2" spans="1:9" x14ac:dyDescent="0.3">
      <c r="A2" t="s">
        <v>2</v>
      </c>
      <c r="B2">
        <v>20000</v>
      </c>
      <c r="C2">
        <f>RANK(B2,$B$2:$B$6)</f>
        <v>1</v>
      </c>
      <c r="D2" t="str">
        <f>IF(B2&gt;=15000,"good","need improvement")</f>
        <v>good</v>
      </c>
      <c r="I2" t="s">
        <v>24</v>
      </c>
    </row>
    <row r="3" spans="1:9" x14ac:dyDescent="0.3">
      <c r="A3" t="s">
        <v>3</v>
      </c>
      <c r="B3">
        <v>15000</v>
      </c>
      <c r="C3">
        <f t="shared" ref="C3:C6" si="0">RANK(B3,$B$2:$B$6)</f>
        <v>2</v>
      </c>
      <c r="D3" t="str">
        <f t="shared" ref="D3:D6" si="1">IF(B3&gt;=15000,"good","need improvement")</f>
        <v>good</v>
      </c>
      <c r="I3" t="s">
        <v>2</v>
      </c>
    </row>
    <row r="4" spans="1:9" x14ac:dyDescent="0.3">
      <c r="A4" t="s">
        <v>4</v>
      </c>
      <c r="B4">
        <v>12000</v>
      </c>
      <c r="C4">
        <f t="shared" si="0"/>
        <v>3</v>
      </c>
      <c r="D4" t="str">
        <f t="shared" si="1"/>
        <v>need improvement</v>
      </c>
      <c r="I4" t="str">
        <f>"sales: "&amp;MAX(B2:B6)</f>
        <v>sales: 20000</v>
      </c>
    </row>
    <row r="5" spans="1:9" x14ac:dyDescent="0.3">
      <c r="A5" t="s">
        <v>1</v>
      </c>
      <c r="B5">
        <v>10000</v>
      </c>
      <c r="C5">
        <f t="shared" si="0"/>
        <v>4</v>
      </c>
      <c r="D5" t="str">
        <f t="shared" si="1"/>
        <v>need improvement</v>
      </c>
    </row>
    <row r="6" spans="1:9" x14ac:dyDescent="0.3">
      <c r="A6" t="s">
        <v>5</v>
      </c>
      <c r="B6">
        <v>8000</v>
      </c>
      <c r="C6">
        <f t="shared" si="0"/>
        <v>5</v>
      </c>
      <c r="D6" t="str">
        <f t="shared" si="1"/>
        <v>need improvement</v>
      </c>
    </row>
  </sheetData>
  <sortState xmlns:xlrd2="http://schemas.microsoft.com/office/spreadsheetml/2017/richdata2" ref="A2:B6">
    <sortCondition descending="1" ref="B2:B6"/>
  </sortState>
  <conditionalFormatting sqref="B1:B1048576">
    <cfRule type="colorScale" priority="5">
      <colorScale>
        <cfvo type="min"/>
        <cfvo type="percentile" val="50"/>
        <cfvo type="max"/>
        <color rgb="FF63BE7B"/>
        <color rgb="FFFFEB84"/>
        <color rgb="FFF8696B"/>
      </colorScale>
    </cfRule>
  </conditionalFormatting>
  <conditionalFormatting sqref="D2:D3">
    <cfRule type="containsText" dxfId="3" priority="2" operator="containsText" text="good">
      <formula>NOT(ISERROR(SEARCH("good",D2)))</formula>
    </cfRule>
  </conditionalFormatting>
  <conditionalFormatting sqref="D2:D6">
    <cfRule type="containsText" dxfId="2" priority="3" operator="containsText" text="need improvement">
      <formula>NOT(ISERROR(SEARCH("need improvement",D2)))</formula>
    </cfRule>
    <cfRule type="containsText" dxfId="1" priority="4" operator="containsText" text="good">
      <formula>NOT(ISERROR(SEARCH("good",D2)))</formula>
    </cfRule>
  </conditionalFormatting>
  <conditionalFormatting sqref="D4:E6">
    <cfRule type="containsText" dxfId="0" priority="1" operator="containsText" text="need improvement">
      <formula>NOT(ISERROR(SEARCH("need improvement",D4)))</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93B3-FA8E-4F89-9D95-DC22D3F773CE}">
  <dimension ref="A1:B7"/>
  <sheetViews>
    <sheetView workbookViewId="0">
      <selection activeCell="T11" sqref="T11"/>
    </sheetView>
  </sheetViews>
  <sheetFormatPr defaultRowHeight="14.4" x14ac:dyDescent="0.3"/>
  <sheetData>
    <row r="1" spans="1:2" x14ac:dyDescent="0.3">
      <c r="A1" t="s">
        <v>17</v>
      </c>
      <c r="B1" t="s">
        <v>12</v>
      </c>
    </row>
    <row r="2" spans="1:2" x14ac:dyDescent="0.3">
      <c r="A2" t="s">
        <v>18</v>
      </c>
      <c r="B2">
        <v>10000</v>
      </c>
    </row>
    <row r="3" spans="1:2" x14ac:dyDescent="0.3">
      <c r="A3" t="s">
        <v>19</v>
      </c>
      <c r="B3">
        <v>15000</v>
      </c>
    </row>
    <row r="4" spans="1:2" x14ac:dyDescent="0.3">
      <c r="A4" t="s">
        <v>20</v>
      </c>
      <c r="B4">
        <v>12000</v>
      </c>
    </row>
    <row r="5" spans="1:2" x14ac:dyDescent="0.3">
      <c r="A5" t="s">
        <v>21</v>
      </c>
      <c r="B5">
        <v>20000</v>
      </c>
    </row>
    <row r="6" spans="1:2" x14ac:dyDescent="0.3">
      <c r="A6" t="s">
        <v>22</v>
      </c>
      <c r="B6">
        <v>25000</v>
      </c>
    </row>
    <row r="7" spans="1:2" x14ac:dyDescent="0.3">
      <c r="A7" t="s">
        <v>23</v>
      </c>
      <c r="B7">
        <v>30000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65D65D-54AB-428E-8E27-1AAEAB2A54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Sheet3</vt:lpstr>
      <vt:lpstr>Sheet1</vt:lpstr>
      <vt:lpstr>dashboard</vt:lpstr>
      <vt:lpstr>vlookup practise</vt:lpstr>
      <vt:lpstr>Table9</vt:lpstr>
      <vt:lpstr>Table7</vt:lpstr>
      <vt:lpstr>Table5</vt:lpstr>
      <vt:lpstr>Table1_2</vt:lpstr>
      <vt:lpstr>Table1_1</vt:lpstr>
      <vt:lpstr>Table2</vt:lpstr>
      <vt:lpstr>Sheet4</vt:lpstr>
      <vt:lpstr>Table12_1</vt:lpstr>
      <vt:lpstr>Table12</vt:lpstr>
      <vt:lpstr>Sheet2</vt:lpstr>
      <vt:lpstr>Table1</vt:lpstr>
      <vt:lpstr>Sheet5</vt:lpstr>
      <vt:lpstr>employee report</vt:lpstr>
      <vt:lpstr>monthly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Heleena Sweety Salagala</dc:creator>
  <cp:lastModifiedBy>Heleena Sweety Salagala</cp:lastModifiedBy>
  <dcterms:created xsi:type="dcterms:W3CDTF">2026-06-24T08:55:11Z</dcterms:created>
  <dcterms:modified xsi:type="dcterms:W3CDTF">2026-07-11T10:14:43Z</dcterms:modified>
</cp:coreProperties>
</file>